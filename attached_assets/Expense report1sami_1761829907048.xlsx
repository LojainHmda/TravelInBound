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C04731-E578-42B1-AD68-5B44BDAF9F66}" xr6:coauthVersionLast="47" xr6:coauthVersionMax="47" xr10:uidLastSave="{00000000-0000-0000-0000-000000000000}"/>
  <bookViews>
    <workbookView xWindow="60" yWindow="40" windowWidth="19140" windowHeight="10040" activeTab="1" xr2:uid="{00000000-000D-0000-FFFF-FFFF00000000}"/>
  </bookViews>
  <sheets>
    <sheet name="Expected Exp report" sheetId="1" r:id="rId1"/>
    <sheet name="Sheet1" sheetId="2" r:id="rId2"/>
  </sheets>
  <definedNames>
    <definedName name="_xlnm.Print_Area" localSheetId="0">'Expected Exp report'!$A$1:$G$49</definedName>
    <definedName name="_xlnm.Print_Area" localSheetId="1">Sheet1!$A$1:$G$47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2" l="1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32" i="1"/>
  <c r="F33" i="1"/>
  <c r="F34" i="1"/>
  <c r="F35" i="1"/>
  <c r="F25" i="1"/>
  <c r="F26" i="1"/>
  <c r="F27" i="1"/>
  <c r="F28" i="1"/>
  <c r="F29" i="1"/>
  <c r="F30" i="1"/>
  <c r="F31" i="1"/>
  <c r="F14" i="1"/>
  <c r="F15" i="1"/>
  <c r="F16" i="1"/>
  <c r="F17" i="1"/>
  <c r="F18" i="1"/>
  <c r="F19" i="1"/>
  <c r="F20" i="1"/>
  <c r="F21" i="1"/>
  <c r="F22" i="1"/>
  <c r="F23" i="1"/>
  <c r="F24" i="1"/>
  <c r="F13" i="1"/>
  <c r="F12" i="1"/>
  <c r="F36" i="2" l="1"/>
  <c r="F38" i="2" s="1"/>
  <c r="F36" i="1"/>
  <c r="F38" i="1" s="1"/>
</calcChain>
</file>

<file path=xl/sharedStrings.xml><?xml version="1.0" encoding="utf-8"?>
<sst xmlns="http://schemas.openxmlformats.org/spreadsheetml/2006/main" count="67" uniqueCount="53">
  <si>
    <t>Total</t>
  </si>
  <si>
    <t xml:space="preserve">Date </t>
  </si>
  <si>
    <t>Pax</t>
  </si>
  <si>
    <t>Cost PP</t>
  </si>
  <si>
    <t>Item</t>
  </si>
  <si>
    <t>Advance Payment</t>
  </si>
  <si>
    <t>Windows of Jordan</t>
  </si>
  <si>
    <t>Authorization:…..................................................</t>
  </si>
  <si>
    <t>Guide\Driver:…............................</t>
  </si>
  <si>
    <t xml:space="preserve">Ref: </t>
  </si>
  <si>
    <t xml:space="preserve">Pax: </t>
  </si>
  <si>
    <t>Citadel Amman</t>
  </si>
  <si>
    <t>Roman Theatre</t>
  </si>
  <si>
    <t>Um Qais</t>
  </si>
  <si>
    <t>Jerash</t>
  </si>
  <si>
    <t>Desert Castles</t>
  </si>
  <si>
    <t>Petra</t>
  </si>
  <si>
    <t>Others (Please Specify)</t>
  </si>
  <si>
    <t>Advance payment 900 JD from Cheque 1504</t>
  </si>
  <si>
    <t xml:space="preserve"> Expected Expense Sheet</t>
  </si>
  <si>
    <t>Thomas</t>
  </si>
  <si>
    <t>2</t>
  </si>
  <si>
    <t>Driver Rebhi</t>
  </si>
  <si>
    <t>Local Guide in Petra</t>
  </si>
  <si>
    <t>Jeep Tour</t>
  </si>
  <si>
    <t>Wadi Rum Tickets</t>
  </si>
  <si>
    <t xml:space="preserve">Holiday Inn Swim &amp; Lunch </t>
  </si>
  <si>
    <t xml:space="preserve"> Actual Expense Sheet</t>
  </si>
  <si>
    <t>Guiding Fees</t>
  </si>
  <si>
    <t>Private Jet</t>
  </si>
  <si>
    <t>File Expense Sami Twal</t>
  </si>
  <si>
    <t>51</t>
  </si>
  <si>
    <t>Wadi Rum</t>
  </si>
  <si>
    <t>Tickets</t>
  </si>
  <si>
    <t>Jeep Tips</t>
  </si>
  <si>
    <t>Rest House Lunch</t>
  </si>
  <si>
    <t>Rest house Tip</t>
  </si>
  <si>
    <t>Border Bell Boy</t>
  </si>
  <si>
    <t>Luggage Truck</t>
  </si>
  <si>
    <t>Mowafaq Saidy</t>
  </si>
  <si>
    <t>Petra Tickets</t>
  </si>
  <si>
    <t>Petra Basin rest.</t>
  </si>
  <si>
    <t>Petra Basin Tip</t>
  </si>
  <si>
    <t>Movenpick Bell Boy Tip</t>
  </si>
  <si>
    <t>Movenpick Saraya Dinner</t>
  </si>
  <si>
    <t>Movenpick Roof Top Garden Tip</t>
  </si>
  <si>
    <t>Club Cars in total</t>
  </si>
  <si>
    <t>Fuel To Aqaba &amp; Car Rental</t>
  </si>
  <si>
    <t>Dinner At Fakher Edien</t>
  </si>
  <si>
    <t>Overnight Petra</t>
  </si>
  <si>
    <t>Wadi Mujib</t>
  </si>
  <si>
    <t>Wadi Mujib Tip</t>
  </si>
  <si>
    <t>Sweets and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</si>
</sst>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;"/>
    <numFmt numFmtId="165" formatCode="[$JOD]\ #,##0.00"/>
    <numFmt numFmtId="166" formatCode="[$JOD]\ #,##0.00_);\([$JOD]\ #,##0.00\)"/>
    <numFmt numFmtId="167" formatCode="[$-F800]dddd\,\ mmmm\ dd\,\ yyyy"/>
  </numFmts>
  <fonts count="14" x14ac:knownFonts="1">
    <font>
      <sz val="10"/>
      <name val="Arial"/>
    </font>
    <font>
      <sz val="10"/>
      <name val="Tahoma"/>
      <family val="2"/>
    </font>
    <font>
      <b/>
      <sz val="9"/>
      <color indexed="9"/>
      <name val="Tahoma"/>
      <family val="2"/>
    </font>
    <font>
      <b/>
      <sz val="10"/>
      <color indexed="63"/>
      <name val="Tahoma"/>
      <family val="2"/>
    </font>
    <font>
      <sz val="10"/>
      <color indexed="63"/>
      <name val="Tahoma"/>
      <family val="2"/>
    </font>
    <font>
      <b/>
      <sz val="10"/>
      <name val="Tahoma"/>
      <family val="2"/>
    </font>
    <font>
      <sz val="22"/>
      <color indexed="60"/>
      <name val="Tahoma"/>
      <family val="2"/>
    </font>
    <font>
      <sz val="11"/>
      <name val="Arial"/>
      <family val="2"/>
    </font>
    <font>
      <sz val="12"/>
      <name val="Arial"/>
      <family val="2"/>
    </font>
    <font>
      <b/>
      <sz val="16"/>
      <name val="Tahoma"/>
      <family val="2"/>
    </font>
    <font>
      <b/>
      <sz val="11"/>
      <color theme="1"/>
      <name val="Tahoma"/>
      <family val="2"/>
    </font>
    <font>
      <b/>
      <sz val="14"/>
      <color indexed="63"/>
      <name val="Tahoma"/>
      <family val="2"/>
    </font>
    <font>
      <b/>
      <sz val="12"/>
      <color indexed="63"/>
      <name val="Tahoma"/>
      <family val="2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55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6" fontId="1" fillId="3" borderId="6" xfId="0" applyNumberFormat="1" applyFont="1" applyFill="1" applyBorder="1" applyAlignment="1">
      <alignment horizontal="center"/>
    </xf>
    <xf numFmtId="164" fontId="4" fillId="7" borderId="0" xfId="0" applyNumberFormat="1" applyFont="1" applyFill="1" applyAlignment="1">
      <alignment horizontal="left"/>
    </xf>
    <xf numFmtId="0" fontId="10" fillId="0" borderId="17" xfId="0" applyFont="1" applyBorder="1" applyAlignment="1">
      <alignment horizontal="right"/>
    </xf>
    <xf numFmtId="0" fontId="12" fillId="0" borderId="7" xfId="0" applyFont="1" applyBorder="1" applyAlignment="1">
      <alignment horizontal="center"/>
    </xf>
    <xf numFmtId="49" fontId="12" fillId="0" borderId="1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167" fontId="3" fillId="3" borderId="18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165" fontId="1" fillId="5" borderId="13" xfId="0" applyNumberFormat="1" applyFont="1" applyFill="1" applyBorder="1" applyAlignment="1">
      <alignment horizontal="center"/>
    </xf>
    <xf numFmtId="3" fontId="1" fillId="5" borderId="13" xfId="0" applyNumberFormat="1" applyFont="1" applyFill="1" applyBorder="1" applyAlignment="1">
      <alignment horizontal="center"/>
    </xf>
    <xf numFmtId="165" fontId="13" fillId="6" borderId="5" xfId="0" applyNumberFormat="1" applyFont="1" applyFill="1" applyBorder="1" applyAlignment="1">
      <alignment horizontal="center"/>
    </xf>
    <xf numFmtId="3" fontId="5" fillId="2" borderId="13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5" fontId="1" fillId="3" borderId="22" xfId="0" applyNumberFormat="1" applyFont="1" applyFill="1" applyBorder="1" applyAlignment="1">
      <alignment horizontal="center"/>
    </xf>
    <xf numFmtId="165" fontId="1" fillId="3" borderId="2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" fillId="5" borderId="13" xfId="0" applyFont="1" applyFill="1" applyBorder="1" applyAlignment="1">
      <alignment horizontal="left" wrapText="1"/>
    </xf>
    <xf numFmtId="0" fontId="2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A14817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996950</xdr:colOff>
      <xdr:row>1</xdr:row>
      <xdr:rowOff>560821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7CE35-1D1A-9097-4894-FE85317B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96950" cy="77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996950</xdr:colOff>
      <xdr:row>1</xdr:row>
      <xdr:rowOff>546101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C2B71-CC62-4CDA-8A61-04C7A99C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"/>
          <a:ext cx="99695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4"/>
  <sheetViews>
    <sheetView showGridLines="0" zoomScaleNormal="100" workbookViewId="0">
      <selection sqref="A1:XFD1048576"/>
    </sheetView>
  </sheetViews>
  <sheetFormatPr defaultRowHeight="12.5" x14ac:dyDescent="0.25"/>
  <cols>
    <col min="1" max="1" width="0.54296875" customWidth="1"/>
    <col min="2" max="2" width="19.1796875" customWidth="1"/>
    <col min="3" max="3" width="29.1796875" customWidth="1"/>
    <col min="4" max="4" width="11.1796875" customWidth="1"/>
    <col min="5" max="5" width="6.54296875" bestFit="1" customWidth="1"/>
    <col min="6" max="6" width="17.7265625" bestFit="1" customWidth="1"/>
  </cols>
  <sheetData>
    <row r="1" spans="2:7" s="8" customFormat="1" ht="16.5" customHeight="1" x14ac:dyDescent="0.25">
      <c r="B1"/>
      <c r="C1" s="7"/>
      <c r="D1" s="7"/>
      <c r="E1" s="7"/>
      <c r="F1" s="9"/>
      <c r="G1" s="7"/>
    </row>
    <row r="2" spans="2:7" s="8" customFormat="1" ht="48" customHeight="1" x14ac:dyDescent="0.25">
      <c r="B2" s="50" t="s">
        <v>6</v>
      </c>
      <c r="C2" s="50"/>
      <c r="D2" s="50"/>
      <c r="E2" s="50"/>
      <c r="F2" s="50"/>
      <c r="G2" s="7"/>
    </row>
    <row r="3" spans="2:7" ht="25.5" customHeight="1" x14ac:dyDescent="0.25">
      <c r="B3" s="30" t="s">
        <v>19</v>
      </c>
      <c r="C3" s="31"/>
      <c r="D3" s="31"/>
      <c r="E3" s="31"/>
      <c r="F3" s="32"/>
      <c r="G3" s="1"/>
    </row>
    <row r="4" spans="2:7" ht="30" customHeight="1" x14ac:dyDescent="0.25">
      <c r="B4" s="33"/>
      <c r="C4" s="34"/>
      <c r="D4" s="34"/>
      <c r="E4" s="34"/>
      <c r="F4" s="35"/>
      <c r="G4" s="1"/>
    </row>
    <row r="5" spans="2:7" ht="17.149999999999999" customHeight="1" x14ac:dyDescent="0.35">
      <c r="B5" s="36">
        <v>24061003</v>
      </c>
      <c r="C5" s="37"/>
      <c r="D5" s="6"/>
      <c r="E5" s="12" t="s">
        <v>1</v>
      </c>
      <c r="F5" s="17">
        <v>45455</v>
      </c>
      <c r="G5" s="1"/>
    </row>
    <row r="6" spans="2:7" ht="17.149999999999999" customHeight="1" x14ac:dyDescent="0.25">
      <c r="B6" s="6"/>
      <c r="C6" s="6"/>
      <c r="D6" s="6"/>
      <c r="E6" s="6"/>
      <c r="F6" s="11"/>
      <c r="G6" s="1"/>
    </row>
    <row r="7" spans="2:7" ht="17.149999999999999" customHeight="1" x14ac:dyDescent="0.25">
      <c r="B7" s="5"/>
      <c r="C7" s="6"/>
      <c r="D7" s="6"/>
      <c r="E7" s="6"/>
      <c r="G7" s="1"/>
    </row>
    <row r="8" spans="2:7" ht="16.5" customHeight="1" x14ac:dyDescent="0.35">
      <c r="B8" s="38" t="s">
        <v>22</v>
      </c>
      <c r="C8" s="39"/>
      <c r="E8" s="13" t="s">
        <v>9</v>
      </c>
      <c r="F8" s="14" t="s">
        <v>20</v>
      </c>
      <c r="G8" s="2"/>
    </row>
    <row r="9" spans="2:7" ht="17.149999999999999" customHeight="1" x14ac:dyDescent="0.3">
      <c r="B9" s="40"/>
      <c r="C9" s="40"/>
      <c r="E9" s="15" t="s">
        <v>10</v>
      </c>
      <c r="F9" s="16" t="s">
        <v>21</v>
      </c>
      <c r="G9" s="2"/>
    </row>
    <row r="10" spans="2:7" ht="17.149999999999999" customHeight="1" x14ac:dyDescent="0.25">
      <c r="B10" s="1"/>
      <c r="C10" s="1"/>
      <c r="D10" s="1"/>
      <c r="E10" s="1"/>
      <c r="F10" s="1"/>
      <c r="G10" s="1"/>
    </row>
    <row r="11" spans="2:7" s="4" customFormat="1" ht="20.149999999999999" customHeight="1" x14ac:dyDescent="0.25">
      <c r="B11" s="52" t="s">
        <v>4</v>
      </c>
      <c r="C11" s="52"/>
      <c r="D11" s="18" t="s">
        <v>3</v>
      </c>
      <c r="E11" s="18" t="s">
        <v>2</v>
      </c>
      <c r="F11" s="18" t="s">
        <v>0</v>
      </c>
      <c r="G11" s="3"/>
    </row>
    <row r="12" spans="2:7" ht="17.149999999999999" customHeight="1" x14ac:dyDescent="0.25">
      <c r="B12" s="29" t="s">
        <v>11</v>
      </c>
      <c r="C12" s="29"/>
      <c r="D12" s="19"/>
      <c r="E12" s="20"/>
      <c r="F12" s="21">
        <f>SUM(D12*E12)</f>
        <v>0</v>
      </c>
      <c r="G12" s="1"/>
    </row>
    <row r="13" spans="2:7" ht="17.149999999999999" customHeight="1" x14ac:dyDescent="0.25">
      <c r="B13" s="28" t="s">
        <v>12</v>
      </c>
      <c r="C13" s="28"/>
      <c r="D13" s="22"/>
      <c r="E13" s="23"/>
      <c r="F13" s="21">
        <f>SUM(D13*E13)</f>
        <v>0</v>
      </c>
      <c r="G13" s="1"/>
    </row>
    <row r="14" spans="2:7" ht="17.149999999999999" customHeight="1" x14ac:dyDescent="0.25">
      <c r="B14" s="29" t="s">
        <v>13</v>
      </c>
      <c r="C14" s="29"/>
      <c r="D14" s="19"/>
      <c r="E14" s="20"/>
      <c r="F14" s="21">
        <f t="shared" ref="F14:F35" si="0">SUM(D14*E14)</f>
        <v>0</v>
      </c>
      <c r="G14" s="1"/>
    </row>
    <row r="15" spans="2:7" ht="17.149999999999999" customHeight="1" x14ac:dyDescent="0.25">
      <c r="B15" s="28" t="s">
        <v>14</v>
      </c>
      <c r="C15" s="28"/>
      <c r="D15" s="22"/>
      <c r="E15" s="23"/>
      <c r="F15" s="21">
        <f t="shared" si="0"/>
        <v>0</v>
      </c>
      <c r="G15" s="1"/>
    </row>
    <row r="16" spans="2:7" ht="17.149999999999999" customHeight="1" x14ac:dyDescent="0.25">
      <c r="B16" s="29" t="s">
        <v>15</v>
      </c>
      <c r="C16" s="29"/>
      <c r="D16" s="19"/>
      <c r="E16" s="20"/>
      <c r="F16" s="21">
        <f t="shared" si="0"/>
        <v>0</v>
      </c>
      <c r="G16" s="1"/>
    </row>
    <row r="17" spans="2:7" ht="17.149999999999999" customHeight="1" x14ac:dyDescent="0.25">
      <c r="B17" s="28" t="s">
        <v>16</v>
      </c>
      <c r="C17" s="28"/>
      <c r="D17" s="22">
        <v>50</v>
      </c>
      <c r="E17" s="23">
        <v>2</v>
      </c>
      <c r="F17" s="21">
        <f t="shared" si="0"/>
        <v>100</v>
      </c>
      <c r="G17" s="1"/>
    </row>
    <row r="18" spans="2:7" ht="17.149999999999999" customHeight="1" x14ac:dyDescent="0.25">
      <c r="B18" s="29" t="s">
        <v>23</v>
      </c>
      <c r="C18" s="29"/>
      <c r="D18" s="19">
        <v>50</v>
      </c>
      <c r="E18" s="20">
        <v>1</v>
      </c>
      <c r="F18" s="21">
        <f t="shared" si="0"/>
        <v>50</v>
      </c>
      <c r="G18" s="1"/>
    </row>
    <row r="19" spans="2:7" ht="17.149999999999999" customHeight="1" x14ac:dyDescent="0.25">
      <c r="B19" s="51" t="s">
        <v>24</v>
      </c>
      <c r="C19" s="51"/>
      <c r="D19" s="24">
        <v>35</v>
      </c>
      <c r="E19" s="25">
        <v>1</v>
      </c>
      <c r="F19" s="21">
        <f t="shared" si="0"/>
        <v>35</v>
      </c>
      <c r="G19" s="1"/>
    </row>
    <row r="20" spans="2:7" ht="17.149999999999999" customHeight="1" x14ac:dyDescent="0.25">
      <c r="B20" s="29" t="s">
        <v>25</v>
      </c>
      <c r="C20" s="29"/>
      <c r="D20" s="19">
        <v>7</v>
      </c>
      <c r="E20" s="20">
        <v>2</v>
      </c>
      <c r="F20" s="21">
        <f t="shared" si="0"/>
        <v>14</v>
      </c>
      <c r="G20" s="1"/>
    </row>
    <row r="21" spans="2:7" ht="17.149999999999999" customHeight="1" x14ac:dyDescent="0.25">
      <c r="B21" s="51" t="s">
        <v>26</v>
      </c>
      <c r="C21" s="51"/>
      <c r="D21" s="24">
        <v>28.5</v>
      </c>
      <c r="E21" s="25">
        <v>2</v>
      </c>
      <c r="F21" s="21">
        <f t="shared" si="0"/>
        <v>57</v>
      </c>
      <c r="G21" s="1"/>
    </row>
    <row r="22" spans="2:7" ht="17.149999999999999" customHeight="1" x14ac:dyDescent="0.25">
      <c r="B22" s="29"/>
      <c r="C22" s="29"/>
      <c r="D22" s="19"/>
      <c r="E22" s="27"/>
      <c r="F22" s="21">
        <f t="shared" si="0"/>
        <v>0</v>
      </c>
      <c r="G22" s="1"/>
    </row>
    <row r="23" spans="2:7" ht="17.149999999999999" customHeight="1" x14ac:dyDescent="0.25">
      <c r="B23" s="51"/>
      <c r="C23" s="51"/>
      <c r="D23" s="24"/>
      <c r="E23" s="25"/>
      <c r="F23" s="21">
        <f t="shared" si="0"/>
        <v>0</v>
      </c>
      <c r="G23" s="1"/>
    </row>
    <row r="24" spans="2:7" ht="17.149999999999999" customHeight="1" x14ac:dyDescent="0.25">
      <c r="B24" s="29"/>
      <c r="C24" s="29"/>
      <c r="D24" s="19"/>
      <c r="E24" s="20"/>
      <c r="F24" s="21">
        <f t="shared" si="0"/>
        <v>0</v>
      </c>
      <c r="G24" s="1"/>
    </row>
    <row r="25" spans="2:7" ht="17.149999999999999" customHeight="1" x14ac:dyDescent="0.25">
      <c r="B25" s="51"/>
      <c r="C25" s="51"/>
      <c r="D25" s="24"/>
      <c r="E25" s="25"/>
      <c r="F25" s="21">
        <f t="shared" si="0"/>
        <v>0</v>
      </c>
      <c r="G25" s="1"/>
    </row>
    <row r="26" spans="2:7" ht="17.149999999999999" customHeight="1" x14ac:dyDescent="0.25">
      <c r="B26" s="29"/>
      <c r="C26" s="29"/>
      <c r="D26" s="19"/>
      <c r="E26" s="20"/>
      <c r="F26" s="21">
        <f t="shared" si="0"/>
        <v>0</v>
      </c>
      <c r="G26" s="1"/>
    </row>
    <row r="27" spans="2:7" ht="17.149999999999999" customHeight="1" x14ac:dyDescent="0.25">
      <c r="B27" s="29"/>
      <c r="C27" s="29"/>
      <c r="D27" s="24"/>
      <c r="E27" s="25"/>
      <c r="F27" s="21">
        <f t="shared" si="0"/>
        <v>0</v>
      </c>
      <c r="G27" s="1"/>
    </row>
    <row r="28" spans="2:7" ht="17.149999999999999" customHeight="1" x14ac:dyDescent="0.25">
      <c r="B28" s="29"/>
      <c r="C28" s="29"/>
      <c r="D28" s="24"/>
      <c r="E28" s="25"/>
      <c r="F28" s="21">
        <f t="shared" si="0"/>
        <v>0</v>
      </c>
      <c r="G28" s="1"/>
    </row>
    <row r="29" spans="2:7" ht="17.149999999999999" customHeight="1" x14ac:dyDescent="0.25">
      <c r="B29" s="29"/>
      <c r="C29" s="29"/>
      <c r="D29" s="24"/>
      <c r="E29" s="25"/>
      <c r="F29" s="21">
        <f t="shared" si="0"/>
        <v>0</v>
      </c>
      <c r="G29" s="1"/>
    </row>
    <row r="30" spans="2:7" ht="17.149999999999999" customHeight="1" x14ac:dyDescent="0.25">
      <c r="B30" s="29"/>
      <c r="C30" s="29"/>
      <c r="D30" s="24"/>
      <c r="E30" s="25"/>
      <c r="F30" s="21">
        <f t="shared" si="0"/>
        <v>0</v>
      </c>
      <c r="G30" s="1"/>
    </row>
    <row r="31" spans="2:7" ht="17.149999999999999" customHeight="1" x14ac:dyDescent="0.25">
      <c r="B31" s="29"/>
      <c r="C31" s="29"/>
      <c r="D31" s="24"/>
      <c r="E31" s="25"/>
      <c r="F31" s="21">
        <f t="shared" si="0"/>
        <v>0</v>
      </c>
      <c r="G31" s="1"/>
    </row>
    <row r="32" spans="2:7" ht="17.149999999999999" customHeight="1" x14ac:dyDescent="0.25">
      <c r="B32" s="29"/>
      <c r="C32" s="29"/>
      <c r="D32" s="24"/>
      <c r="E32" s="25"/>
      <c r="F32" s="21">
        <f t="shared" si="0"/>
        <v>0</v>
      </c>
      <c r="G32" s="1"/>
    </row>
    <row r="33" spans="2:7" ht="17.149999999999999" customHeight="1" x14ac:dyDescent="0.25">
      <c r="B33" s="29"/>
      <c r="C33" s="29"/>
      <c r="D33" s="24"/>
      <c r="E33" s="25"/>
      <c r="F33" s="21">
        <f t="shared" si="0"/>
        <v>0</v>
      </c>
      <c r="G33" s="1"/>
    </row>
    <row r="34" spans="2:7" ht="17.149999999999999" customHeight="1" x14ac:dyDescent="0.25">
      <c r="B34" s="29"/>
      <c r="C34" s="29"/>
      <c r="D34" s="24"/>
      <c r="E34" s="25"/>
      <c r="F34" s="21">
        <f t="shared" si="0"/>
        <v>0</v>
      </c>
      <c r="G34" s="1"/>
    </row>
    <row r="35" spans="2:7" ht="17.149999999999999" customHeight="1" x14ac:dyDescent="0.25">
      <c r="B35" s="29" t="s">
        <v>17</v>
      </c>
      <c r="C35" s="29"/>
      <c r="D35" s="24"/>
      <c r="E35" s="25"/>
      <c r="F35" s="21">
        <f t="shared" si="0"/>
        <v>0</v>
      </c>
      <c r="G35" s="1"/>
    </row>
    <row r="36" spans="2:7" ht="17.149999999999999" customHeight="1" x14ac:dyDescent="0.25">
      <c r="B36" s="45" t="s">
        <v>18</v>
      </c>
      <c r="C36" s="45"/>
      <c r="D36" s="43"/>
      <c r="E36" s="44"/>
      <c r="F36" s="26">
        <f>SUM(F12:F35)</f>
        <v>256</v>
      </c>
      <c r="G36" s="1"/>
    </row>
    <row r="37" spans="2:7" ht="17.149999999999999" customHeight="1" x14ac:dyDescent="0.25">
      <c r="B37" s="46"/>
      <c r="C37" s="46"/>
      <c r="D37" s="48" t="s">
        <v>5</v>
      </c>
      <c r="E37" s="49"/>
      <c r="F37" s="10">
        <v>0</v>
      </c>
      <c r="G37" s="1"/>
    </row>
    <row r="38" spans="2:7" ht="17.149999999999999" customHeight="1" x14ac:dyDescent="0.25">
      <c r="B38" s="47"/>
      <c r="C38" s="47"/>
      <c r="D38" s="48" t="s">
        <v>0</v>
      </c>
      <c r="E38" s="49"/>
      <c r="F38" s="10">
        <f>SUM(F36-F37)</f>
        <v>256</v>
      </c>
      <c r="G38" s="1"/>
    </row>
    <row r="44" spans="2:7" ht="15.5" x14ac:dyDescent="0.35">
      <c r="B44" s="41" t="s">
        <v>7</v>
      </c>
      <c r="C44" s="41"/>
      <c r="D44" s="42" t="s">
        <v>8</v>
      </c>
      <c r="E44" s="42"/>
      <c r="F44" s="42"/>
    </row>
  </sheetData>
  <mergeCells count="36">
    <mergeCell ref="B26:C26"/>
    <mergeCell ref="D37:E37"/>
    <mergeCell ref="D38:E38"/>
    <mergeCell ref="B2:F2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44:C44"/>
    <mergeCell ref="D44:F44"/>
    <mergeCell ref="B27:C27"/>
    <mergeCell ref="B28:C28"/>
    <mergeCell ref="B29:C29"/>
    <mergeCell ref="B30:C30"/>
    <mergeCell ref="B31:C31"/>
    <mergeCell ref="B32:C32"/>
    <mergeCell ref="B35:C35"/>
    <mergeCell ref="D36:E36"/>
    <mergeCell ref="B33:C33"/>
    <mergeCell ref="B36:C38"/>
    <mergeCell ref="B34:C34"/>
    <mergeCell ref="B13:C13"/>
    <mergeCell ref="B14:C14"/>
    <mergeCell ref="B15:C15"/>
    <mergeCell ref="B3:F4"/>
    <mergeCell ref="B5:C5"/>
    <mergeCell ref="B8:C8"/>
    <mergeCell ref="B9:C9"/>
  </mergeCells>
  <phoneticPr fontId="0" type="noConversion"/>
  <printOptions horizontalCentered="1"/>
  <pageMargins left="0.75" right="0.75" top="0.5" bottom="1" header="0.5" footer="0.5"/>
  <pageSetup scale="81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A93B-26C6-4FFF-945D-57A5CD12BFD6}">
  <dimension ref="B1:G44"/>
  <sheetViews>
    <sheetView tabSelected="1" topLeftCell="A24" zoomScaleNormal="100" workbookViewId="0">
      <selection activeCell="F37" sqref="F37"/>
    </sheetView>
  </sheetViews>
  <sheetFormatPr defaultRowHeight="12.5" x14ac:dyDescent="0.25"/>
  <cols>
    <col min="1" max="1" width="0.54296875" customWidth="1"/>
    <col min="2" max="2" width="19.1796875" customWidth="1"/>
    <col min="3" max="3" width="29.1796875" customWidth="1"/>
    <col min="4" max="4" width="11.7265625" bestFit="1" customWidth="1"/>
    <col min="5" max="5" width="6.54296875" bestFit="1" customWidth="1"/>
    <col min="6" max="6" width="19.453125" bestFit="1" customWidth="1"/>
  </cols>
  <sheetData>
    <row r="1" spans="2:7" s="8" customFormat="1" ht="16.5" customHeight="1" x14ac:dyDescent="0.25">
      <c r="B1"/>
      <c r="C1" s="7"/>
      <c r="D1" s="7"/>
      <c r="E1" s="7"/>
      <c r="F1" s="9"/>
      <c r="G1" s="7"/>
    </row>
    <row r="2" spans="2:7" s="8" customFormat="1" ht="48" customHeight="1" x14ac:dyDescent="0.25">
      <c r="B2" s="50" t="s">
        <v>6</v>
      </c>
      <c r="C2" s="50"/>
      <c r="D2" s="50"/>
      <c r="E2" s="50"/>
      <c r="F2" s="50"/>
      <c r="G2" s="7"/>
    </row>
    <row r="3" spans="2:7" ht="25.5" customHeight="1" x14ac:dyDescent="0.25">
      <c r="B3" s="30" t="s">
        <v>27</v>
      </c>
      <c r="C3" s="31"/>
      <c r="D3" s="31"/>
      <c r="E3" s="31"/>
      <c r="F3" s="32"/>
      <c r="G3" s="1"/>
    </row>
    <row r="4" spans="2:7" ht="30" customHeight="1" x14ac:dyDescent="0.25">
      <c r="B4" s="33"/>
      <c r="C4" s="34"/>
      <c r="D4" s="34"/>
      <c r="E4" s="34"/>
      <c r="F4" s="35"/>
      <c r="G4" s="1"/>
    </row>
    <row r="5" spans="2:7" ht="17.149999999999999" customHeight="1" x14ac:dyDescent="0.35">
      <c r="B5" s="36">
        <v>24081000</v>
      </c>
      <c r="C5" s="37"/>
      <c r="D5" s="6"/>
      <c r="E5" s="12" t="s">
        <v>1</v>
      </c>
      <c r="F5" s="17">
        <v>45538</v>
      </c>
      <c r="G5" s="1"/>
    </row>
    <row r="6" spans="2:7" ht="17.149999999999999" customHeight="1" x14ac:dyDescent="0.25">
      <c r="B6" s="6"/>
      <c r="C6" s="6"/>
      <c r="D6" s="6"/>
      <c r="E6" s="6"/>
      <c r="F6" s="11"/>
      <c r="G6" s="1"/>
    </row>
    <row r="7" spans="2:7" ht="17.149999999999999" customHeight="1" x14ac:dyDescent="0.25">
      <c r="B7" s="5"/>
      <c r="C7" s="6"/>
      <c r="D7" s="6"/>
      <c r="E7" s="6"/>
      <c r="G7" s="1"/>
    </row>
    <row r="8" spans="2:7" ht="16.5" customHeight="1" x14ac:dyDescent="0.35">
      <c r="B8" s="38" t="s">
        <v>30</v>
      </c>
      <c r="C8" s="39"/>
      <c r="E8" s="13" t="s">
        <v>9</v>
      </c>
      <c r="F8" s="14" t="s">
        <v>29</v>
      </c>
      <c r="G8" s="2"/>
    </row>
    <row r="9" spans="2:7" ht="17.149999999999999" customHeight="1" x14ac:dyDescent="0.3">
      <c r="B9" s="40"/>
      <c r="C9" s="40"/>
      <c r="E9" s="15" t="s">
        <v>10</v>
      </c>
      <c r="F9" s="16" t="s">
        <v>31</v>
      </c>
      <c r="G9" s="2"/>
    </row>
    <row r="10" spans="2:7" ht="17.149999999999999" customHeight="1" x14ac:dyDescent="0.25">
      <c r="B10" s="1"/>
      <c r="C10" s="1"/>
      <c r="D10" s="1"/>
      <c r="E10" s="1"/>
      <c r="F10" s="1"/>
      <c r="G10" s="1"/>
    </row>
    <row r="11" spans="2:7" s="4" customFormat="1" ht="20.149999999999999" customHeight="1" x14ac:dyDescent="0.25">
      <c r="B11" s="52" t="s">
        <v>4</v>
      </c>
      <c r="C11" s="52"/>
      <c r="D11" s="18" t="s">
        <v>3</v>
      </c>
      <c r="E11" s="18" t="s">
        <v>2</v>
      </c>
      <c r="F11" s="18" t="s">
        <v>0</v>
      </c>
      <c r="G11" s="3"/>
    </row>
    <row r="12" spans="2:7" ht="17.149999999999999" customHeight="1" x14ac:dyDescent="0.25">
      <c r="B12" s="29" t="s">
        <v>32</v>
      </c>
      <c r="C12" s="29"/>
      <c r="D12" s="19">
        <v>35</v>
      </c>
      <c r="E12" s="20">
        <v>18</v>
      </c>
      <c r="F12" s="21">
        <f>SUM(D12*E12)</f>
        <v>630</v>
      </c>
      <c r="G12" s="1"/>
    </row>
    <row r="13" spans="2:7" ht="17.149999999999999" customHeight="1" x14ac:dyDescent="0.25">
      <c r="B13" s="28" t="s">
        <v>33</v>
      </c>
      <c r="C13" s="28"/>
      <c r="D13" s="22">
        <v>51</v>
      </c>
      <c r="E13" s="23">
        <v>10</v>
      </c>
      <c r="F13" s="21">
        <f>SUM(D13*E13)</f>
        <v>510</v>
      </c>
      <c r="G13" s="1"/>
    </row>
    <row r="14" spans="2:7" ht="17.149999999999999" customHeight="1" x14ac:dyDescent="0.25">
      <c r="B14" s="29" t="s">
        <v>34</v>
      </c>
      <c r="C14" s="29"/>
      <c r="D14" s="19">
        <v>10</v>
      </c>
      <c r="E14" s="20">
        <v>18</v>
      </c>
      <c r="F14" s="21">
        <f t="shared" ref="F14:F35" si="0">SUM(D14*E14)</f>
        <v>180</v>
      </c>
      <c r="G14" s="1"/>
    </row>
    <row r="15" spans="2:7" ht="17.149999999999999" customHeight="1" x14ac:dyDescent="0.25">
      <c r="B15" s="28" t="s">
        <v>35</v>
      </c>
      <c r="C15" s="28"/>
      <c r="D15" s="22">
        <v>453</v>
      </c>
      <c r="E15" s="23">
        <v>1</v>
      </c>
      <c r="F15" s="21">
        <f t="shared" si="0"/>
        <v>453</v>
      </c>
      <c r="G15" s="1"/>
    </row>
    <row r="16" spans="2:7" ht="17.149999999999999" customHeight="1" x14ac:dyDescent="0.25">
      <c r="B16" s="29" t="s">
        <v>36</v>
      </c>
      <c r="C16" s="29"/>
      <c r="D16" s="19">
        <v>50</v>
      </c>
      <c r="E16" s="20">
        <v>1</v>
      </c>
      <c r="F16" s="21">
        <f t="shared" si="0"/>
        <v>50</v>
      </c>
      <c r="G16" s="1"/>
    </row>
    <row r="17" spans="2:7" ht="17.149999999999999" customHeight="1" x14ac:dyDescent="0.25">
      <c r="B17" s="28" t="s">
        <v>37</v>
      </c>
      <c r="C17" s="28"/>
      <c r="D17" s="22">
        <v>200</v>
      </c>
      <c r="E17" s="23">
        <v>1</v>
      </c>
      <c r="F17" s="21">
        <f t="shared" si="0"/>
        <v>200</v>
      </c>
      <c r="G17" s="1"/>
    </row>
    <row r="18" spans="2:7" ht="17.149999999999999" customHeight="1" x14ac:dyDescent="0.25">
      <c r="B18" s="29" t="s">
        <v>38</v>
      </c>
      <c r="C18" s="29"/>
      <c r="D18" s="19">
        <v>170</v>
      </c>
      <c r="E18" s="20">
        <v>2</v>
      </c>
      <c r="F18" s="21">
        <f t="shared" si="0"/>
        <v>340</v>
      </c>
      <c r="G18" s="1"/>
    </row>
    <row r="19" spans="2:7" ht="17.149999999999999" customHeight="1" x14ac:dyDescent="0.25">
      <c r="B19" s="51" t="s">
        <v>39</v>
      </c>
      <c r="C19" s="51"/>
      <c r="D19" s="24">
        <v>70</v>
      </c>
      <c r="E19" s="25">
        <v>2</v>
      </c>
      <c r="F19" s="21">
        <f t="shared" si="0"/>
        <v>140</v>
      </c>
      <c r="G19" s="1"/>
    </row>
    <row r="20" spans="2:7" ht="17.149999999999999" customHeight="1" x14ac:dyDescent="0.25">
      <c r="B20" s="29" t="s">
        <v>40</v>
      </c>
      <c r="C20" s="29"/>
      <c r="D20" s="19">
        <v>2300</v>
      </c>
      <c r="E20" s="20">
        <v>1</v>
      </c>
      <c r="F20" s="21">
        <f t="shared" si="0"/>
        <v>2300</v>
      </c>
      <c r="G20" s="1"/>
    </row>
    <row r="21" spans="2:7" ht="17.149999999999999" customHeight="1" x14ac:dyDescent="0.25">
      <c r="B21" s="51" t="s">
        <v>41</v>
      </c>
      <c r="C21" s="51"/>
      <c r="D21" s="24">
        <v>700.76199999999994</v>
      </c>
      <c r="E21" s="25">
        <v>1</v>
      </c>
      <c r="F21" s="21">
        <f t="shared" si="0"/>
        <v>700.76199999999994</v>
      </c>
      <c r="G21" s="1"/>
    </row>
    <row r="22" spans="2:7" ht="17.149999999999999" customHeight="1" x14ac:dyDescent="0.25">
      <c r="B22" s="51" t="s">
        <v>41</v>
      </c>
      <c r="C22" s="51"/>
      <c r="D22" s="19">
        <v>229.06800000000001</v>
      </c>
      <c r="E22" s="27">
        <v>1</v>
      </c>
      <c r="F22" s="21">
        <f t="shared" si="0"/>
        <v>229.06800000000001</v>
      </c>
      <c r="G22" s="1"/>
    </row>
    <row r="23" spans="2:7" ht="17.149999999999999" customHeight="1" x14ac:dyDescent="0.25">
      <c r="B23" s="51" t="s">
        <v>42</v>
      </c>
      <c r="C23" s="51"/>
      <c r="D23" s="24">
        <v>50</v>
      </c>
      <c r="E23" s="25">
        <v>1</v>
      </c>
      <c r="F23" s="21">
        <f t="shared" si="0"/>
        <v>50</v>
      </c>
      <c r="G23" s="1"/>
    </row>
    <row r="24" spans="2:7" ht="17.149999999999999" customHeight="1" x14ac:dyDescent="0.25">
      <c r="B24" s="29" t="s">
        <v>43</v>
      </c>
      <c r="C24" s="29"/>
      <c r="D24" s="19">
        <v>70</v>
      </c>
      <c r="E24" s="20">
        <v>2</v>
      </c>
      <c r="F24" s="21">
        <f t="shared" si="0"/>
        <v>140</v>
      </c>
      <c r="G24" s="1"/>
    </row>
    <row r="25" spans="2:7" ht="17.149999999999999" customHeight="1" x14ac:dyDescent="0.25">
      <c r="B25" s="51" t="s">
        <v>44</v>
      </c>
      <c r="C25" s="51"/>
      <c r="D25" s="24">
        <v>50</v>
      </c>
      <c r="E25" s="25">
        <v>1</v>
      </c>
      <c r="F25" s="21">
        <f t="shared" si="0"/>
        <v>50</v>
      </c>
      <c r="G25" s="1"/>
    </row>
    <row r="26" spans="2:7" ht="17.149999999999999" customHeight="1" x14ac:dyDescent="0.25">
      <c r="B26" s="29" t="s">
        <v>45</v>
      </c>
      <c r="C26" s="29"/>
      <c r="D26" s="19">
        <v>100</v>
      </c>
      <c r="E26" s="20">
        <v>1</v>
      </c>
      <c r="F26" s="21">
        <f t="shared" si="0"/>
        <v>100</v>
      </c>
      <c r="G26" s="1"/>
    </row>
    <row r="27" spans="2:7" ht="17.149999999999999" customHeight="1" x14ac:dyDescent="0.25">
      <c r="B27" s="29" t="s">
        <v>46</v>
      </c>
      <c r="C27" s="29"/>
      <c r="D27" s="24">
        <v>770</v>
      </c>
      <c r="E27" s="25">
        <v>1</v>
      </c>
      <c r="F27" s="21">
        <f t="shared" si="0"/>
        <v>770</v>
      </c>
      <c r="G27" s="1"/>
    </row>
    <row r="28" spans="2:7" ht="17.149999999999999" customHeight="1" x14ac:dyDescent="0.25">
      <c r="B28" s="29" t="s">
        <v>47</v>
      </c>
      <c r="C28" s="29"/>
      <c r="D28" s="24">
        <v>340</v>
      </c>
      <c r="E28" s="25">
        <v>1</v>
      </c>
      <c r="F28" s="21">
        <f t="shared" si="0"/>
        <v>340</v>
      </c>
      <c r="G28" s="1"/>
    </row>
    <row r="29" spans="2:7" ht="17.149999999999999" customHeight="1" x14ac:dyDescent="0.25">
      <c r="B29" s="29" t="s">
        <v>48</v>
      </c>
      <c r="C29" s="29"/>
      <c r="D29" s="24">
        <v>200</v>
      </c>
      <c r="E29" s="25">
        <v>1</v>
      </c>
      <c r="F29" s="21">
        <f t="shared" si="0"/>
        <v>200</v>
      </c>
      <c r="G29" s="1"/>
    </row>
    <row r="30" spans="2:7" ht="17.149999999999999" customHeight="1" x14ac:dyDescent="0.25">
      <c r="B30" s="29" t="s">
        <v>49</v>
      </c>
      <c r="C30" s="29"/>
      <c r="D30" s="24">
        <v>40</v>
      </c>
      <c r="E30" s="25">
        <v>2</v>
      </c>
      <c r="F30" s="21">
        <f t="shared" si="0"/>
        <v>80</v>
      </c>
      <c r="G30" s="1"/>
    </row>
    <row r="31" spans="2:7" ht="17.149999999999999" customHeight="1" x14ac:dyDescent="0.25">
      <c r="B31" s="29" t="s">
        <v>50</v>
      </c>
      <c r="C31" s="29"/>
      <c r="D31" s="24">
        <v>136</v>
      </c>
      <c r="E31" s="25">
        <v>1</v>
      </c>
      <c r="F31" s="21">
        <f t="shared" si="0"/>
        <v>136</v>
      </c>
      <c r="G31" s="1"/>
    </row>
    <row r="32" spans="2:7" ht="17.149999999999999" customHeight="1" x14ac:dyDescent="0.25">
      <c r="B32" s="29" t="s">
        <v>51</v>
      </c>
      <c r="C32" s="29"/>
      <c r="D32" s="24">
        <v>15</v>
      </c>
      <c r="E32" s="25">
        <v>1</v>
      </c>
      <c r="F32" s="21">
        <f t="shared" si="0"/>
        <v>15</v>
      </c>
      <c r="G32" s="1"/>
    </row>
    <row r="33" spans="2:7" ht="17.149999999999999" customHeight="1" x14ac:dyDescent="0.25">
      <c r="B33" s="29" t="s">
        <v>28</v>
      </c>
      <c r="C33" s="29"/>
      <c r="D33" s="24">
        <v>90</v>
      </c>
      <c r="E33" s="25">
        <v>3</v>
      </c>
      <c r="F33" s="21">
        <f t="shared" si="0"/>
        <v>270</v>
      </c>
      <c r="G33" s="1"/>
    </row>
    <row r="34" spans="2:7" ht="17.149999999999999" customHeight="1" x14ac:dyDescent="0.25">
      <c r="B34" s="29" t="s">
        <v>52</v>
      </c>
      <c r="C34" s="29"/>
      <c r="D34" s="24">
        <v>15</v>
      </c>
      <c r="E34" s="25">
        <v>2</v>
      </c>
      <c r="F34" s="21">
        <f t="shared" si="0"/>
        <v>30</v>
      </c>
      <c r="G34" s="1"/>
    </row>
    <row r="35" spans="2:7" ht="17.149999999999999" customHeight="1" x14ac:dyDescent="0.25">
      <c r="B35" s="29"/>
      <c r="C35" s="29"/>
      <c r="D35" s="24"/>
      <c r="E35" s="25"/>
      <c r="F35" s="21">
        <v>0</v>
      </c>
      <c r="G35" s="1"/>
    </row>
    <row r="36" spans="2:7" ht="17.149999999999999" customHeight="1" x14ac:dyDescent="0.25">
      <c r="B36" s="45"/>
      <c r="C36" s="45"/>
      <c r="D36" s="43"/>
      <c r="E36" s="44"/>
      <c r="F36" s="26">
        <f>SUM(F12:F35)</f>
        <v>7913.83</v>
      </c>
      <c r="G36" s="1"/>
    </row>
    <row r="37" spans="2:7" ht="17.149999999999999" customHeight="1" x14ac:dyDescent="0.25">
      <c r="B37" s="46"/>
      <c r="C37" s="46"/>
      <c r="D37" s="48" t="s">
        <v>5</v>
      </c>
      <c r="E37" s="49"/>
      <c r="F37" s="10">
        <v>8500</v>
      </c>
      <c r="G37" s="1"/>
    </row>
    <row r="38" spans="2:7" ht="17.149999999999999" customHeight="1" x14ac:dyDescent="0.25">
      <c r="B38" s="47"/>
      <c r="C38" s="47"/>
      <c r="D38" s="48" t="s">
        <v>0</v>
      </c>
      <c r="E38" s="49"/>
      <c r="F38" s="10">
        <f>SUM(F36-F37)</f>
        <v>-586.17000000000007</v>
      </c>
      <c r="G38" s="1"/>
    </row>
    <row r="44" spans="2:7" ht="15.5" x14ac:dyDescent="0.35">
      <c r="B44" s="41" t="s">
        <v>7</v>
      </c>
      <c r="C44" s="41"/>
      <c r="D44" s="42" t="s">
        <v>8</v>
      </c>
      <c r="E44" s="42"/>
      <c r="F44" s="42"/>
    </row>
  </sheetData>
  <mergeCells count="36">
    <mergeCell ref="B36:C38"/>
    <mergeCell ref="D36:E36"/>
    <mergeCell ref="D37:E37"/>
    <mergeCell ref="D38:E38"/>
    <mergeCell ref="B44:C44"/>
    <mergeCell ref="D44:F44"/>
    <mergeCell ref="B35:C35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2:F2"/>
    <mergeCell ref="B3:F4"/>
    <mergeCell ref="B5:C5"/>
    <mergeCell ref="B8:C8"/>
    <mergeCell ref="B9:C9"/>
  </mergeCells>
  <pageMargins left="0.7" right="0.7" top="0.75" bottom="0.75" header="0.3" footer="0.3"/>
  <pageSetup paperSize="9" scale="9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Expected Exp report</vt:lpstr>
      <vt:lpstr>Sheet1</vt:lpstr>
      <vt:lpstr>'Expected Exp report'!Print_Area</vt:lpstr>
      <vt:lpstr>Sheet1!Print_Area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Twal</dc:creator>
  <cp:lastModifiedBy>Sami Twal</cp:lastModifiedBy>
  <cp:lastPrinted>2024-06-27T08:39:11Z</cp:lastPrinted>
  <dcterms:created xsi:type="dcterms:W3CDTF">2000-10-27T00:30:29Z</dcterms:created>
  <dcterms:modified xsi:type="dcterms:W3CDTF">2024-09-11T08:22:30Z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TC062062751033</vt:lpwstr>
  </property>
</Properties>
</file>